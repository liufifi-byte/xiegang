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16e5eaa38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单" sheetId="1" r:id="Rc7715b227a33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sz val="11"/>
      <x:color rgb="FF000000"/>
      <x:name val="宋体"/>
    </x:font>
    <x:font>
      <x:sz val="22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B7F7B7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center"/>
    </x:xf>
    <x:xf numFmtId="200" fontId="1" fillId="0" borderId="1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 applyAlignment="1">
      <x:alignment horizontal="center" vertical="center" wrapText="0"/>
    </x:xf>
    <x:xf numFmtId="0" fontId="0" fillId="2" borderId="0" xfId="0" applyNumberFormat="1" applyFont="1" applyFill="1" applyBorder="1" applyAlignment="1">
      <x:alignment wrapText="0"/>
    </x:xf>
    <x:xf numFmtId="0" fontId="1" fillId="0" borderId="3" xfId="0" applyNumberFormat="1" applyFont="1" applyFill="1" applyBorder="1" applyAlignment="1">
      <x:alignment horizontal="center" vertical="center" wrapText="0"/>
    </x:xf>
    <x:xf numFmtId="0" fontId="3" fillId="0" borderId="1" xfId="0" applyNumberFormat="1" applyFont="1" applyFill="1" applyBorder="1" applyAlignment="1">
      <x:alignment vertical="center" wrapText="0"/>
    </x:xf>
    <x:xf numFmtId="0" fontId="3" fillId="0" borderId="1" xfId="0" applyNumberFormat="1" applyFont="1" applyFill="1" applyBorder="1" applyAlignment="1">
      <x:alignment horizontal="center" wrapText="0"/>
    </x:xf>
    <x:xf numFmtId="0" fontId="1" fillId="0" borderId="1" xfId="0" applyNumberFormat="1" applyFont="1" applyFill="1" applyBorder="1" applyAlignment="1">
      <x:alignment horizontal="center" wrapText="0"/>
    </x:xf>
    <x:xf numFmtId="201" fontId="1" fillId="0" borderId="1" xfId="0" applyNumberFormat="1" applyFont="1" applyFill="1" applyBorder="1" applyAlignment="1">
      <x:alignment horizontal="center" wrapText="0"/>
    </x:xf>
    <x:xf numFmtId="200" fontId="1" fillId="0" borderId="1" xfId="0" applyNumberFormat="1" applyFont="1" applyFill="1" applyBorder="1" applyAlignment="1">
      <x:alignment horizont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a624594714da7" /><Relationship Type="http://schemas.openxmlformats.org/officeDocument/2006/relationships/theme" Target="/xl/theme/theme1.xml" Id="Rcabba29db8ab472d" /><Relationship Type="http://schemas.openxmlformats.org/officeDocument/2006/relationships/sharedStrings" Target="/xl/sharedStrings.xml" Id="Rca853c5912a14451" /><Relationship Type="http://schemas.openxmlformats.org/officeDocument/2006/relationships/worksheet" Target="/xl/worksheets/sheet1.xml" Id="Rc7715b227a3348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1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0" hidden="0" customWidth="1"/>
  </x:cols>
  <x:sheetData>
    <x:row r="1" ht="26" customHeight="1">
      <x:c r="A1" s="21" t="str">
        <x:v>安徽博大鑫丰塑业有限公司报价单</x:v>
      </x:c>
      <x:c r="B1" s="22"/>
      <x:c r="C1" s="22"/>
      <x:c r="D1" s="22"/>
      <x:c r="E1" s="22"/>
      <x:c r="F1" s="22"/>
      <x:c r="G1" s="23"/>
    </x:row>
    <x:row r="2" ht="26" customHeight="1">
      <x:c r="A2" s="24"/>
      <x:c r="B2" s="24"/>
      <x:c r="C2" s="24"/>
      <x:c r="D2" s="24"/>
      <x:c r="E2" s="24"/>
      <x:c r="F2" s="24"/>
      <x:c r="G2" s="23"/>
    </x:row>
    <x:row r="3" ht="20" customHeight="1">
      <x:c r="A3" s="25" t="str">
        <x:v>单位名称：安徽博大鑫丰塑业有限公司</x:v>
      </x:c>
      <x:c r="B3" s="25"/>
      <x:c r="C3" s="25"/>
      <x:c r="D3" s="25"/>
      <x:c r="E3" s="25" t="str">
        <x:v>日期：</x:v>
      </x:c>
      <x:c r="F3" s="25"/>
      <x:c r="G3" s="23"/>
    </x:row>
    <x:row r="4" ht="20" customHeight="1">
      <x:c r="A4" s="25" t="str">
        <x:v>开户行：中国建设银行股份有限公司滁州政务新区支行</x:v>
      </x:c>
      <x:c r="B4" s="25"/>
      <x:c r="C4" s="25"/>
      <x:c r="D4" s="25"/>
      <x:c r="E4" s="25" t="str">
        <x:v>联系人：</x:v>
      </x:c>
      <x:c r="F4" s="25"/>
      <x:c r="G4" s="23"/>
    </x:row>
    <x:row r="5" ht="20" customHeight="1">
      <x:c r="A5" s="25" t="str">
        <x:v>银行账号：3405 0173 8908 0000 0352</x:v>
      </x:c>
      <x:c r="B5" s="25"/>
      <x:c r="C5" s="25"/>
      <x:c r="D5" s="25"/>
      <x:c r="E5" s="25" t="str">
        <x:v>地址：</x:v>
      </x:c>
      <x:c r="F5" s="25"/>
      <x:c r="G5" s="23"/>
    </x:row>
    <x:row r="6" ht="20" customHeight="1">
      <x:c r="A6" s="26" t="str">
        <x:v>序号</x:v>
      </x:c>
      <x:c r="B6" s="26" t="str">
        <x:v>产品及规格型号</x:v>
      </x:c>
      <x:c r="C6" s="26" t="str">
        <x:v>单位</x:v>
      </x:c>
      <x:c r="D6" s="26" t="str">
        <x:v>数量</x:v>
      </x:c>
      <x:c r="E6" s="26" t="str">
        <x:v>单价</x:v>
      </x:c>
      <x:c r="F6" s="26" t="str">
        <x:v>金额</x:v>
      </x:c>
      <x:c r="G6" s="23"/>
    </x:row>
    <x:row r="7" ht="20" customHeight="1">
      <x:c r="A7" s="27" t="n">
        <x:v>1</x:v>
      </x:c>
      <x:c r="B7" s="27" t="str">
        <x:v>钢丝网骨架管110*1.6</x:v>
      </x:c>
      <x:c r="C7" s="27" t="str"/>
      <x:c r="D7" s="28" t="n">
        <x:v>6</x:v>
      </x:c>
      <x:c r="E7" s="29" t="n">
        <x:v>22</x:v>
      </x:c>
      <x:c r="F7" s="29" t="n">
        <x:f>D7*E7</x:f>
        <x:v>132</x:v>
      </x:c>
      <x:c r="G7" s="23"/>
    </x:row>
    <x:row r="8" ht="20" customHeight="1">
      <x:c r="A8" s="27" t="n">
        <x:v>2</x:v>
      </x:c>
      <x:c r="B8" s="27" t="str">
        <x:v>钢丝网骨架管90*1.6</x:v>
      </x:c>
      <x:c r="C8" s="27" t="str"/>
      <x:c r="D8" s="28" t="n">
        <x:v>6</x:v>
      </x:c>
      <x:c r="E8" s="29" t="n">
        <x:v>19</x:v>
      </x:c>
      <x:c r="F8" s="29" t="n">
        <x:f>D8*E8</x:f>
        <x:v>114</x:v>
      </x:c>
      <x:c r="G8" s="23"/>
    </x:row>
    <x:row r="9" ht="20" customHeight="1">
      <x:c r="A9" s="27" t="n">
        <x:v>3</x:v>
      </x:c>
      <x:c r="B9" s="27" t="str">
        <x:v>钢丝网骨架管75*1.6</x:v>
      </x:c>
      <x:c r="C9" s="27" t="str"/>
      <x:c r="D9" s="28" t="n">
        <x:v>210</x:v>
      </x:c>
      <x:c r="E9" s="29" t="n">
        <x:v>17</x:v>
      </x:c>
      <x:c r="F9" s="29" t="n">
        <x:f>D9*E9</x:f>
        <x:v>3570</x:v>
      </x:c>
      <x:c r="G9" s="23"/>
    </x:row>
    <x:row r="10" ht="20" customHeight="1">
      <x:c r="A10" s="27" t="n">
        <x:v>4</x:v>
      </x:c>
      <x:c r="B10" s="27" t="str">
        <x:v>钢丝网骨架管50*1.6</x:v>
      </x:c>
      <x:c r="C10" s="27" t="str"/>
      <x:c r="D10" s="28" t="n">
        <x:v>180</x:v>
      </x:c>
      <x:c r="E10" s="29" t="n">
        <x:v>12</x:v>
      </x:c>
      <x:c r="F10" s="29" t="n">
        <x:f>D10*E10</x:f>
        <x:v>2160</x:v>
      </x:c>
      <x:c r="G10" s="23"/>
    </x:row>
    <x:row r="11" ht="20" customHeight="1">
      <x:c r="A11" s="27" t="n">
        <x:v>5</x:v>
      </x:c>
      <x:c r="B11" s="27" t="str">
        <x:v>正三通75</x:v>
      </x:c>
      <x:c r="C11" s="27" t="str"/>
      <x:c r="D11" s="28" t="n">
        <x:v>1</x:v>
      </x:c>
      <x:c r="E11" s="29" t="n">
        <x:v>13.35</x:v>
      </x:c>
      <x:c r="F11" s="29" t="n">
        <x:f>D11*E11</x:f>
        <x:v>13.35</x:v>
      </x:c>
      <x:c r="G11" s="23"/>
    </x:row>
    <x:row r="12" ht="20" customHeight="1">
      <x:c r="A12" s="27" t="n">
        <x:v>6</x:v>
      </x:c>
      <x:c r="B12" s="27" t="str">
        <x:v>90°弯头75</x:v>
      </x:c>
      <x:c r="C12" s="27" t="str"/>
      <x:c r="D12" s="28" t="n">
        <x:v>10</x:v>
      </x:c>
      <x:c r="E12" s="29" t="n">
        <x:v>10.81</x:v>
      </x:c>
      <x:c r="F12" s="29" t="n">
        <x:f>D12*E12</x:f>
        <x:v>108.10000000000001</x:v>
      </x:c>
      <x:c r="G12" s="23"/>
    </x:row>
    <x:row r="13" ht="20" customHeight="1">
      <x:c r="A13" s="27" t="n">
        <x:v>7</x:v>
      </x:c>
      <x:c r="B13" s="27" t="str">
        <x:v>法兰头75</x:v>
      </x:c>
      <x:c r="C13" s="27" t="str"/>
      <x:c r="D13" s="28" t="n">
        <x:v>6</x:v>
      </x:c>
      <x:c r="E13" s="29" t="n">
        <x:v>9.29</x:v>
      </x:c>
      <x:c r="F13" s="29" t="n">
        <x:f>D13*E13</x:f>
        <x:v>55.739999999999995</x:v>
      </x:c>
      <x:c r="G13" s="23"/>
    </x:row>
    <x:row r="14" ht="20" customHeight="1">
      <x:c r="A14" s="27" t="n">
        <x:v>8</x:v>
      </x:c>
      <x:c r="B14" s="27" t="str">
        <x:v>法兰盘片75</x:v>
      </x:c>
      <x:c r="C14" s="27" t="str"/>
      <x:c r="D14" s="28" t="n">
        <x:v>6</x:v>
      </x:c>
      <x:c r="E14" s="29" t="n">
        <x:v>13.08</x:v>
      </x:c>
      <x:c r="F14" s="29" t="n">
        <x:f>D14*E14</x:f>
        <x:v>78.48</x:v>
      </x:c>
      <x:c r="G14" s="23"/>
    </x:row>
    <x:row r="15" ht="20" customHeight="1">
      <x:c r="A15" s="27" t="n">
        <x:v>9</x:v>
      </x:c>
      <x:c r="B15" s="27" t="str">
        <x:v>直通75</x:v>
      </x:c>
      <x:c r="C15" s="27" t="str"/>
      <x:c r="D15" s="28" t="n">
        <x:v>35</x:v>
      </x:c>
      <x:c r="E15" s="29" t="n">
        <x:v>7.39</x:v>
      </x:c>
      <x:c r="F15" s="29" t="n">
        <x:f>D15*E15</x:f>
        <x:v>258.65</x:v>
      </x:c>
      <x:c r="G15" s="23"/>
    </x:row>
    <x:row r="16" ht="20" customHeight="1">
      <x:c r="A16" s="27" t="n">
        <x:v>10</x:v>
      </x:c>
      <x:c r="B16" s="27" t="str">
        <x:v>90°弯头90</x:v>
      </x:c>
      <x:c r="C16" s="27" t="str"/>
      <x:c r="D16" s="28" t="n">
        <x:v>2</x:v>
      </x:c>
      <x:c r="E16" s="29" t="n">
        <x:v>15.89</x:v>
      </x:c>
      <x:c r="F16" s="29" t="n">
        <x:f>D16*E16</x:f>
        <x:v>31.78</x:v>
      </x:c>
      <x:c r="G16" s="23"/>
    </x:row>
    <x:row r="17" ht="20" customHeight="1">
      <x:c r="A17" s="27" t="n">
        <x:v>11</x:v>
      </x:c>
      <x:c r="B17" s="27" t="str">
        <x:v>法兰头90</x:v>
      </x:c>
      <x:c r="C17" s="27" t="str"/>
      <x:c r="D17" s="28" t="n">
        <x:v>2</x:v>
      </x:c>
      <x:c r="E17" s="29" t="n">
        <x:v>11.27</x:v>
      </x:c>
      <x:c r="F17" s="29" t="n">
        <x:f>D17*E17</x:f>
        <x:v>22.54</x:v>
      </x:c>
      <x:c r="G17" s="23"/>
    </x:row>
    <x:row r="18" ht="20" customHeight="1">
      <x:c r="A18" s="27" t="n">
        <x:v>12</x:v>
      </x:c>
      <x:c r="B18" s="27" t="str">
        <x:v>法兰盘片90</x:v>
      </x:c>
      <x:c r="C18" s="27" t="str"/>
      <x:c r="D18" s="28" t="n">
        <x:v>2</x:v>
      </x:c>
      <x:c r="E18" s="29" t="n">
        <x:v>14.17</x:v>
      </x:c>
      <x:c r="F18" s="29" t="n">
        <x:f>D18*E18</x:f>
        <x:v>28.34</x:v>
      </x:c>
      <x:c r="G18" s="23"/>
    </x:row>
    <x:row r="19" ht="20" customHeight="1">
      <x:c r="A19" s="27" t="n">
        <x:v>13</x:v>
      </x:c>
      <x:c r="B19" s="27" t="str">
        <x:v>90°弯头110</x:v>
      </x:c>
      <x:c r="C19" s="27" t="str"/>
      <x:c r="D19" s="28" t="n">
        <x:v>2</x:v>
      </x:c>
      <x:c r="E19" s="29" t="n">
        <x:v>19.89</x:v>
      </x:c>
      <x:c r="F19" s="29" t="n">
        <x:f>D19*E19</x:f>
        <x:v>39.78</x:v>
      </x:c>
      <x:c r="G19" s="23"/>
    </x:row>
    <x:row r="20" ht="20" customHeight="1">
      <x:c r="A20" s="27" t="n">
        <x:v>14</x:v>
      </x:c>
      <x:c r="B20" s="27" t="str">
        <x:v>直通110</x:v>
      </x:c>
      <x:c r="C20" s="27" t="str"/>
      <x:c r="D20" s="28" t="n">
        <x:v>5</x:v>
      </x:c>
      <x:c r="E20" s="29" t="n">
        <x:v>11.84</x:v>
      </x:c>
      <x:c r="F20" s="29" t="n">
        <x:f>D20*E20</x:f>
        <x:v>59.2</x:v>
      </x:c>
      <x:c r="G20" s="23"/>
    </x:row>
    <x:row r="21" ht="20" customHeight="1">
      <x:c r="A21" s="27" t="n">
        <x:v>15</x:v>
      </x:c>
      <x:c r="B21" s="27" t="str">
        <x:v>法兰头110</x:v>
      </x:c>
      <x:c r="C21" s="27" t="str"/>
      <x:c r="D21" s="28" t="n">
        <x:v>5</x:v>
      </x:c>
      <x:c r="E21" s="29" t="n">
        <x:v>14.86</x:v>
      </x:c>
      <x:c r="F21" s="29" t="n">
        <x:f>D21*E21</x:f>
        <x:v>74.3</x:v>
      </x:c>
      <x:c r="G21" s="23"/>
    </x:row>
    <x:row r="22" ht="20" customHeight="1">
      <x:c r="A22" s="27" t="n">
        <x:v>16</x:v>
      </x:c>
      <x:c r="B22" s="27" t="str">
        <x:v>法兰盘片110</x:v>
      </x:c>
      <x:c r="C22" s="27" t="str"/>
      <x:c r="D22" s="28" t="n">
        <x:v>5</x:v>
      </x:c>
      <x:c r="E22" s="29" t="n">
        <x:v>15.26</x:v>
      </x:c>
      <x:c r="F22" s="29" t="n">
        <x:f>D22*E22</x:f>
        <x:v>76.3</x:v>
      </x:c>
      <x:c r="G22" s="23"/>
    </x:row>
    <x:row r="23" ht="20" customHeight="1">
      <x:c r="A23" s="27" t="n">
        <x:v>17</x:v>
      </x:c>
      <x:c r="B23" s="27" t="str">
        <x:v>正三通50</x:v>
      </x:c>
      <x:c r="C23" s="27" t="str"/>
      <x:c r="D23" s="28" t="n">
        <x:v>10</x:v>
      </x:c>
      <x:c r="E23" s="29" t="n">
        <x:v>8.64</x:v>
      </x:c>
      <x:c r="F23" s="29" t="n">
        <x:f>D23*E23</x:f>
        <x:v>86.4</x:v>
      </x:c>
      <x:c r="G23" s="23"/>
    </x:row>
    <x:row r="24" ht="20" customHeight="1">
      <x:c r="A24" s="27" t="n">
        <x:v>18</x:v>
      </x:c>
      <x:c r="B24" s="27" t="str">
        <x:v>90°弯头50</x:v>
      </x:c>
      <x:c r="C24" s="27" t="str"/>
      <x:c r="D24" s="28" t="n">
        <x:v>55</x:v>
      </x:c>
      <x:c r="E24" s="29" t="n">
        <x:v>6.38</x:v>
      </x:c>
      <x:c r="F24" s="29" t="n">
        <x:f>D24*E24</x:f>
        <x:v>350.9</x:v>
      </x:c>
      <x:c r="G24" s="23"/>
    </x:row>
    <x:row r="25" ht="20" customHeight="1">
      <x:c r="A25" s="27" t="n">
        <x:v>19</x:v>
      </x:c>
      <x:c r="B25" s="27" t="str">
        <x:v>直通50</x:v>
      </x:c>
      <x:c r="C25" s="27" t="str"/>
      <x:c r="D25" s="28" t="n">
        <x:v>30</x:v>
      </x:c>
      <x:c r="E25" s="29" t="n">
        <x:v>5.17</x:v>
      </x:c>
      <x:c r="F25" s="29" t="n">
        <x:f>D25*E25</x:f>
        <x:v>155.1</x:v>
      </x:c>
      <x:c r="G25" s="23"/>
    </x:row>
    <x:row r="26" ht="20" customHeight="1">
      <x:c r="A26" s="27" t="n">
        <x:v>20</x:v>
      </x:c>
      <x:c r="B26" s="27" t="str">
        <x:v>法兰头50</x:v>
      </x:c>
      <x:c r="C26" s="27" t="str"/>
      <x:c r="D26" s="28" t="n">
        <x:v>55</x:v>
      </x:c>
      <x:c r="E26" s="29" t="n">
        <x:v>6.1</x:v>
      </x:c>
      <x:c r="F26" s="29" t="n">
        <x:f>D26*E26</x:f>
        <x:v>335.5</x:v>
      </x:c>
      <x:c r="G26" s="23"/>
    </x:row>
    <x:row r="27" ht="20" customHeight="1">
      <x:c r="A27" s="27" t="n">
        <x:v>21</x:v>
      </x:c>
      <x:c r="B27" s="27" t="str">
        <x:v>法兰盘片50</x:v>
      </x:c>
      <x:c r="C27" s="27" t="str"/>
      <x:c r="D27" s="28" t="n">
        <x:v>55</x:v>
      </x:c>
      <x:c r="E27" s="29" t="n">
        <x:v>9.81</x:v>
      </x:c>
      <x:c r="F27" s="29" t="n">
        <x:f>D27*E27</x:f>
        <x:v>539.5500000000001</x:v>
      </x:c>
      <x:c r="G27" s="23"/>
    </x:row>
    <x:row r="28" ht="20" customHeight="1">
      <x:c r="A28" s="27" t="n">
        <x:v>22</x:v>
      </x:c>
      <x:c r="B28" s="27" t="str">
        <x:v>皮垫110</x:v>
      </x:c>
      <x:c r="C28" s="27" t="str"/>
      <x:c r="D28" s="28" t="n">
        <x:v>66</x:v>
      </x:c>
      <x:c r="E28" s="29" t="n">
        <x:v>1.5</x:v>
      </x:c>
      <x:c r="F28" s="29" t="n">
        <x:f>D28*E28</x:f>
        <x:v>99</x:v>
      </x:c>
      <x:c r="G28" s="23"/>
    </x:row>
    <x:row r="29" ht="20" customHeight="1">
      <x:c r="A29" s="27" t="n">
        <x:v>23</x:v>
      </x:c>
      <x:c r="B29" s="27" t="str">
        <x:v>皮垫90</x:v>
      </x:c>
      <x:c r="C29" s="27" t="str"/>
      <x:c r="D29" s="28" t="n">
        <x:v>5</x:v>
      </x:c>
      <x:c r="E29" s="29" t="n">
        <x:v>1</x:v>
      </x:c>
      <x:c r="F29" s="29" t="n">
        <x:f>D29*E29</x:f>
        <x:v>5</x:v>
      </x:c>
      <x:c r="G29" s="23"/>
    </x:row>
    <x:row r="30" ht="20" customHeight="1">
      <x:c r="A30" s="27" t="n">
        <x:v>24</x:v>
      </x:c>
      <x:c r="B30" s="27" t="str">
        <x:v>皮垫75</x:v>
      </x:c>
      <x:c r="C30" s="27" t="str"/>
      <x:c r="D30" s="28" t="n">
        <x:v>15</x:v>
      </x:c>
      <x:c r="E30" s="29" t="n">
        <x:v>0.7</x:v>
      </x:c>
      <x:c r="F30" s="29" t="n">
        <x:f>D30*E30</x:f>
        <x:v>10.5</x:v>
      </x:c>
      <x:c r="G30" s="23"/>
    </x:row>
    <x:row r="31" ht="20" customHeight="1">
      <x:c r="A31" s="27" t="n">
        <x:v>25</x:v>
      </x:c>
      <x:c r="B31" s="27" t="str">
        <x:v>皮垫50</x:v>
      </x:c>
      <x:c r="C31" s="27" t="str"/>
      <x:c r="D31" s="28" t="n">
        <x:v>80</x:v>
      </x:c>
      <x:c r="E31" s="29" t="n">
        <x:v>0.5</x:v>
      </x:c>
      <x:c r="F31" s="29" t="n">
        <x:f>D31*E31</x:f>
        <x:v>40</x:v>
      </x:c>
      <x:c r="G31" s="23"/>
    </x:row>
    <x:row r="32" ht="20" customHeight="1">
      <x:c r="A32" s="27" t="n">
        <x:v>26</x:v>
      </x:c>
      <x:c r="B32" s="27" t="str">
        <x:v>螺丝螺母16*10（160-200）</x:v>
      </x:c>
      <x:c r="C32" s="27" t="str"/>
      <x:c r="D32" s="28" t="n">
        <x:v>600</x:v>
      </x:c>
      <x:c r="E32" s="29" t="n">
        <x:v>2.2</x:v>
      </x:c>
      <x:c r="F32" s="29" t="n">
        <x:f>D32*E32</x:f>
        <x:v>1320</x:v>
      </x:c>
      <x:c r="G32" s="23"/>
    </x:row>
    <x:row r="33" ht="20" customHeight="1">
      <x:c r="A33" s="27" t="n">
        <x:v>27</x:v>
      </x:c>
      <x:c r="B33" s="27" t="str">
        <x:v>螺丝螺母14*8（75-110）</x:v>
      </x:c>
      <x:c r="C33" s="27" t="str"/>
      <x:c r="D33" s="28" t="n">
        <x:v>400</x:v>
      </x:c>
      <x:c r="E33" s="29" t="n">
        <x:v>1.8</x:v>
      </x:c>
      <x:c r="F33" s="29" t="n">
        <x:f>D33*E33</x:f>
        <x:v>720</x:v>
      </x:c>
      <x:c r="G33" s="23"/>
    </x:row>
    <x:row r="34" ht="20" customHeight="1">
      <x:c r="A34" s="27" t="str"/>
      <x:c r="B34" s="27"/>
      <x:c r="C34" s="27"/>
      <x:c r="D34" s="27"/>
      <x:c r="E34" s="29" t="str">
        <x:v>合计</x:v>
      </x:c>
      <x:c r="F34" s="29" t="n">
        <x:f>SUM(F7:F33)</x:f>
        <x:v>10484.509999999998</x:v>
      </x:c>
      <x:c r="G34" s="23"/>
    </x:row>
  </x:sheetData>
  <x:mergeCells>
    <x:mergeCell ref="A1:F2"/>
    <x:mergeCell ref="A3:D3"/>
    <x:mergeCell ref="E3:F3"/>
    <x:mergeCell ref="A4:D4"/>
    <x:mergeCell ref="E4:F4"/>
    <x:mergeCell ref="A5:D5"/>
    <x:mergeCell ref="E5:F5"/>
    <x:mergeCell ref="A34:D34"/>
  </x:mergeCells>
  <x:pageMargins left="0.7" right="0.7" top="0.75" bottom="0.75" header="0.3" footer="0.3"/>
</x:worksheet>
</file>